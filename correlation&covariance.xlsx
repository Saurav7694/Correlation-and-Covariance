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EF5ABC8DCF925511/Documents/"/>
    </mc:Choice>
  </mc:AlternateContent>
  <xr:revisionPtr revIDLastSave="0" documentId="8_{2045F16C-E5CC-4760-8482-EDF4E5B3DF97}" xr6:coauthVersionLast="47" xr6:coauthVersionMax="47" xr10:uidLastSave="{00000000-0000-0000-0000-000000000000}"/>
  <bookViews>
    <workbookView xWindow="-108" yWindow="-108" windowWidth="23256" windowHeight="12456" firstSheet="4" activeTab="4" xr2:uid="{24FCAEEF-10AD-48A7-BED0-033442929DB6}"/>
  </bookViews>
  <sheets>
    <sheet name="ques6" sheetId="1" r:id="rId1"/>
    <sheet name="ques7" sheetId="2" r:id="rId2"/>
    <sheet name="ques8" sheetId="3" r:id="rId3"/>
    <sheet name="ques9" sheetId="4" r:id="rId4"/>
    <sheet name="ques10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5" l="1"/>
  <c r="H7" i="5"/>
  <c r="G7" i="5"/>
  <c r="F7" i="5"/>
  <c r="H3" i="5"/>
  <c r="H4" i="5"/>
  <c r="H5" i="5"/>
  <c r="H6" i="5"/>
  <c r="H2" i="5"/>
  <c r="G3" i="5"/>
  <c r="G4" i="5"/>
  <c r="G5" i="5"/>
  <c r="G6" i="5"/>
  <c r="G2" i="5"/>
  <c r="F3" i="5"/>
  <c r="F4" i="5"/>
  <c r="F5" i="5"/>
  <c r="F6" i="5"/>
  <c r="F2" i="5"/>
  <c r="E3" i="5"/>
  <c r="E4" i="5"/>
  <c r="E5" i="5"/>
  <c r="E6" i="5"/>
  <c r="D3" i="5"/>
  <c r="D4" i="5"/>
  <c r="D5" i="5"/>
  <c r="D6" i="5"/>
  <c r="E2" i="5"/>
  <c r="D2" i="5"/>
  <c r="C7" i="5"/>
  <c r="B7" i="5"/>
  <c r="C2" i="4"/>
  <c r="E7" i="3"/>
  <c r="G7" i="3"/>
  <c r="F7" i="3"/>
  <c r="E3" i="3"/>
  <c r="E4" i="3"/>
  <c r="E5" i="3"/>
  <c r="E6" i="3"/>
  <c r="E2" i="3"/>
  <c r="B7" i="3"/>
  <c r="D5" i="3" s="1"/>
  <c r="G5" i="3" s="1"/>
  <c r="A7" i="3"/>
  <c r="C4" i="3" s="1"/>
  <c r="F4" i="3" s="1"/>
  <c r="G7" i="2"/>
  <c r="F7" i="2"/>
  <c r="E7" i="2"/>
  <c r="G3" i="2"/>
  <c r="G4" i="2"/>
  <c r="G5" i="2"/>
  <c r="G6" i="2"/>
  <c r="G2" i="2"/>
  <c r="F2" i="2"/>
  <c r="F3" i="2"/>
  <c r="F4" i="2"/>
  <c r="F5" i="2"/>
  <c r="F6" i="2"/>
  <c r="E3" i="2"/>
  <c r="E4" i="2"/>
  <c r="E5" i="2"/>
  <c r="E6" i="2"/>
  <c r="E2" i="2"/>
  <c r="C2" i="2"/>
  <c r="D2" i="2"/>
  <c r="C3" i="2"/>
  <c r="D3" i="2"/>
  <c r="C4" i="2"/>
  <c r="D4" i="2"/>
  <c r="C5" i="2"/>
  <c r="D5" i="2"/>
  <c r="C6" i="2"/>
  <c r="D6" i="2"/>
  <c r="A7" i="2"/>
  <c r="B7" i="2"/>
  <c r="E6" i="1"/>
  <c r="E3" i="1"/>
  <c r="E4" i="1"/>
  <c r="E5" i="1"/>
  <c r="E2" i="1"/>
  <c r="D3" i="1"/>
  <c r="D4" i="1"/>
  <c r="D5" i="1"/>
  <c r="D2" i="1"/>
  <c r="C3" i="1"/>
  <c r="C4" i="1"/>
  <c r="C5" i="1"/>
  <c r="C2" i="1"/>
  <c r="B6" i="1"/>
  <c r="A6" i="1"/>
  <c r="C3" i="3" l="1"/>
  <c r="F3" i="3" s="1"/>
  <c r="D4" i="3"/>
  <c r="G4" i="3" s="1"/>
  <c r="D3" i="3"/>
  <c r="G3" i="3" s="1"/>
  <c r="C5" i="3"/>
  <c r="F5" i="3" s="1"/>
  <c r="D2" i="3"/>
  <c r="G2" i="3" s="1"/>
  <c r="D6" i="3"/>
  <c r="G6" i="3" s="1"/>
  <c r="C2" i="3"/>
  <c r="F2" i="3" s="1"/>
  <c r="C6" i="3"/>
  <c r="F6" i="3" s="1"/>
</calcChain>
</file>

<file path=xl/sharedStrings.xml><?xml version="1.0" encoding="utf-8"?>
<sst xmlns="http://schemas.openxmlformats.org/spreadsheetml/2006/main" count="57" uniqueCount="55">
  <si>
    <t>X</t>
  </si>
  <si>
    <t>Y</t>
  </si>
  <si>
    <t>xi-x mean</t>
  </si>
  <si>
    <t>yi-ymean</t>
  </si>
  <si>
    <t>product</t>
  </si>
  <si>
    <t>cov(X,Y)=</t>
  </si>
  <si>
    <r>
      <rPr>
        <sz val="11"/>
        <color theme="1"/>
        <rFont val="SimSun"/>
      </rPr>
      <t>∑</t>
    </r>
    <r>
      <rPr>
        <sz val="11"/>
        <color theme="1"/>
        <rFont val="Arial"/>
        <family val="2"/>
      </rPr>
      <t>(x-x¯)(Y-Y¯)/n-1</t>
    </r>
  </si>
  <si>
    <t>n=4</t>
  </si>
  <si>
    <t>cov(X,Y)=19/3</t>
  </si>
  <si>
    <t>6.33vanswer</t>
  </si>
  <si>
    <t>A</t>
  </si>
  <si>
    <t>B</t>
  </si>
  <si>
    <r>
      <t>A-A</t>
    </r>
    <r>
      <rPr>
        <sz val="11"/>
        <color theme="1"/>
        <rFont val="Arial"/>
        <family val="2"/>
      </rPr>
      <t>¯</t>
    </r>
  </si>
  <si>
    <r>
      <t>B-B</t>
    </r>
    <r>
      <rPr>
        <sz val="11"/>
        <color theme="1"/>
        <rFont val="Arial"/>
        <family val="2"/>
      </rPr>
      <t>¯</t>
    </r>
  </si>
  <si>
    <r>
      <t xml:space="preserve">  (A-A</t>
    </r>
    <r>
      <rPr>
        <sz val="11"/>
        <color theme="1"/>
        <rFont val="Arial"/>
        <family val="2"/>
      </rPr>
      <t>¯)(B-B¯)</t>
    </r>
  </si>
  <si>
    <r>
      <t>(A-A</t>
    </r>
    <r>
      <rPr>
        <sz val="11"/>
        <color theme="1"/>
        <rFont val="Arial"/>
        <family val="2"/>
      </rPr>
      <t>¯</t>
    </r>
    <r>
      <rPr>
        <sz val="11"/>
        <color theme="1"/>
        <rFont val="Aptos Narrow"/>
        <family val="2"/>
        <scheme val="minor"/>
      </rPr>
      <t>)</t>
    </r>
    <r>
      <rPr>
        <vertAlign val="superscript"/>
        <sz val="11"/>
        <color theme="1"/>
        <rFont val="superscript"/>
      </rPr>
      <t>2</t>
    </r>
  </si>
  <si>
    <r>
      <t>(Y-Y)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</si>
  <si>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r=500/</t>
    </r>
    <r>
      <rPr>
        <sz val="11"/>
        <color theme="1"/>
        <rFont val="Verdana"/>
        <family val="2"/>
      </rPr>
      <t>√</t>
    </r>
    <r>
      <rPr>
        <sz val="11"/>
        <color theme="1"/>
        <rFont val="Aptos Narrow"/>
        <family val="2"/>
      </rPr>
      <t>1000*251.2</t>
    </r>
  </si>
  <si>
    <t>r=500/√251200</t>
  </si>
  <si>
    <t>r=500/501.2</t>
  </si>
  <si>
    <t>r=0.997</t>
  </si>
  <si>
    <t>Height(X)</t>
  </si>
  <si>
    <t>Weight(Y)</t>
  </si>
  <si>
    <r>
      <t>X-X</t>
    </r>
    <r>
      <rPr>
        <sz val="11"/>
        <color theme="1"/>
        <rFont val="Arial"/>
        <family val="2"/>
      </rPr>
      <t>¯</t>
    </r>
  </si>
  <si>
    <r>
      <t>Y-Y</t>
    </r>
    <r>
      <rPr>
        <sz val="11"/>
        <color theme="1"/>
        <rFont val="Arial"/>
        <family val="2"/>
      </rPr>
      <t>¯</t>
    </r>
  </si>
  <si>
    <r>
      <t>(X-X</t>
    </r>
    <r>
      <rPr>
        <sz val="11"/>
        <color theme="1"/>
        <rFont val="Arial"/>
        <family val="2"/>
      </rPr>
      <t>¯</t>
    </r>
    <r>
      <rPr>
        <sz val="11"/>
        <color theme="1"/>
        <rFont val="Aptos Narrow"/>
        <family val="2"/>
      </rPr>
      <t>)(Y-Y</t>
    </r>
    <r>
      <rPr>
        <sz val="11"/>
        <color theme="1"/>
        <rFont val="Arial"/>
        <family val="2"/>
      </rPr>
      <t>¯</t>
    </r>
    <r>
      <rPr>
        <sz val="11"/>
        <color theme="1"/>
        <rFont val="Aptos Narrow"/>
        <family val="2"/>
      </rPr>
      <t>)</t>
    </r>
  </si>
  <si>
    <r>
      <t>(X-X</t>
    </r>
    <r>
      <rPr>
        <sz val="11"/>
        <color theme="1"/>
        <rFont val="Arial"/>
        <family val="2"/>
      </rPr>
      <t>¯</t>
    </r>
    <r>
      <rPr>
        <sz val="11"/>
        <color theme="1"/>
        <rFont val="Aptos Narrow"/>
        <family val="2"/>
        <scheme val="minor"/>
      </rPr>
      <t>)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</si>
  <si>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rPr>
        <sz val="11"/>
        <color theme="1"/>
        <rFont val="Arial"/>
        <family val="2"/>
      </rPr>
      <t>(Y-y¯)</t>
    </r>
    <r>
      <rPr>
        <vertAlign val="superscript"/>
        <sz val="11"/>
        <color theme="1"/>
        <rFont val="Arial"/>
        <family val="2"/>
      </rPr>
      <t>2</t>
    </r>
  </si>
  <si>
    <r>
      <t>r=</t>
    </r>
    <r>
      <rPr>
        <sz val="11"/>
        <color theme="1"/>
        <rFont val="SimSun"/>
      </rPr>
      <t>∑(X-X</t>
    </r>
    <r>
      <rPr>
        <sz val="11"/>
        <color theme="1"/>
        <rFont val="Arial"/>
        <family val="2"/>
      </rPr>
      <t>¯)(Y-Y¯)/</t>
    </r>
    <r>
      <rPr>
        <sz val="11"/>
        <color theme="1"/>
        <rFont val="Verdana"/>
        <family val="2"/>
      </rPr>
      <t>√</t>
    </r>
    <r>
      <rPr>
        <sz val="11"/>
        <color theme="1"/>
        <rFont val="SimSun"/>
      </rPr>
      <t>∑</t>
    </r>
    <r>
      <rPr>
        <sz val="11"/>
        <color theme="1"/>
        <rFont val="Verdana"/>
        <family val="2"/>
      </rPr>
      <t>(x-x</t>
    </r>
    <r>
      <rPr>
        <sz val="11"/>
        <color theme="1"/>
        <rFont val="Arial"/>
        <family val="2"/>
      </rPr>
      <t>¯)</t>
    </r>
    <r>
      <rPr>
        <vertAlign val="superscript"/>
        <sz val="11"/>
        <color theme="1"/>
        <rFont val="Arial"/>
        <family val="2"/>
      </rPr>
      <t xml:space="preserve">2 </t>
    </r>
    <r>
      <rPr>
        <sz val="11"/>
        <color theme="1"/>
        <rFont val="Arial"/>
        <family val="2"/>
      </rPr>
      <t>(Y-Y)</t>
    </r>
    <r>
      <rPr>
        <vertAlign val="superscript"/>
        <sz val="11"/>
        <color theme="1"/>
        <rFont val="Aptos Narrow"/>
        <family val="2"/>
        <scheme val="minor"/>
      </rPr>
      <t>2</t>
    </r>
  </si>
  <si>
    <t>r=335/√500*228</t>
  </si>
  <si>
    <r>
      <t>r=335/</t>
    </r>
    <r>
      <rPr>
        <sz val="11"/>
        <color theme="1"/>
        <rFont val="Verdana"/>
        <family val="2"/>
      </rPr>
      <t>√</t>
    </r>
    <r>
      <rPr>
        <sz val="11"/>
        <color theme="1"/>
        <rFont val="Aptos Narrow"/>
        <family val="2"/>
        <scheme val="minor"/>
      </rPr>
      <t>11400</t>
    </r>
  </si>
  <si>
    <t>r=335/337.64</t>
  </si>
  <si>
    <t>r=0.992</t>
  </si>
  <si>
    <r>
      <t xml:space="preserve">As </t>
    </r>
    <r>
      <rPr>
        <b/>
        <sz val="11"/>
        <color theme="1"/>
        <rFont val="Aptos Narrow"/>
        <family val="2"/>
        <scheme val="minor"/>
      </rPr>
      <t>X increases</t>
    </r>
    <r>
      <rPr>
        <sz val="11"/>
        <color theme="1"/>
        <rFont val="Aptos Narrow"/>
        <family val="2"/>
        <scheme val="minor"/>
      </rPr>
      <t xml:space="preserve"> (from 1 → 5),</t>
    </r>
  </si>
  <si>
    <r>
      <t>Y decreases</t>
    </r>
    <r>
      <rPr>
        <sz val="11"/>
        <color theme="1"/>
        <rFont val="Aptos Narrow"/>
        <family val="2"/>
        <scheme val="minor"/>
      </rPr>
      <t xml:space="preserve"> (from 15 → 3).</t>
    </r>
  </si>
  <si>
    <r>
      <t xml:space="preserve">This means the two variables move in </t>
    </r>
    <r>
      <rPr>
        <b/>
        <sz val="11"/>
        <color theme="1"/>
        <rFont val="Aptos Narrow"/>
        <family val="2"/>
        <scheme val="minor"/>
      </rPr>
      <t>opposite directions</t>
    </r>
    <r>
      <rPr>
        <sz val="11"/>
        <color theme="1"/>
        <rFont val="Aptos Narrow"/>
        <family val="2"/>
        <scheme val="minor"/>
      </rPr>
      <t>.</t>
    </r>
  </si>
  <si>
    <r>
      <t xml:space="preserve">Therefore, the correlation is </t>
    </r>
    <r>
      <rPr>
        <b/>
        <sz val="11"/>
        <color theme="1"/>
        <rFont val="Aptos Narrow"/>
        <family val="2"/>
        <scheme val="minor"/>
      </rPr>
      <t>negative</t>
    </r>
    <r>
      <rPr>
        <sz val="11"/>
        <color theme="1"/>
        <rFont val="Aptos Narrow"/>
        <family val="2"/>
        <scheme val="minor"/>
      </rPr>
      <t>.</t>
    </r>
  </si>
  <si>
    <r>
      <t xml:space="preserve">Since the correlation is negative, the relationship is </t>
    </r>
    <r>
      <rPr>
        <b/>
        <sz val="11"/>
        <color theme="1"/>
        <rFont val="Aptos Narrow"/>
        <family val="2"/>
        <scheme val="minor"/>
      </rPr>
      <t>inverse</t>
    </r>
    <r>
      <rPr>
        <sz val="11"/>
        <color theme="1"/>
        <rFont val="Aptos Narrow"/>
        <family val="2"/>
        <scheme val="minor"/>
      </rPr>
      <t>.</t>
    </r>
  </si>
  <si>
    <r>
      <t xml:space="preserve">In Excel, you’ll see a value like </t>
    </r>
    <r>
      <rPr>
        <b/>
        <sz val="11"/>
        <color theme="1"/>
        <rFont val="Aptos Narrow"/>
        <family val="2"/>
        <scheme val="minor"/>
      </rPr>
      <t>-0.99</t>
    </r>
    <r>
      <rPr>
        <sz val="11"/>
        <color theme="1"/>
        <rFont val="Aptos Narrow"/>
        <family val="2"/>
        <scheme val="minor"/>
      </rPr>
      <t xml:space="preserve">, which indicates a </t>
    </r>
    <r>
      <rPr>
        <b/>
        <sz val="11"/>
        <color theme="1"/>
        <rFont val="Aptos Narrow"/>
        <family val="2"/>
        <scheme val="minor"/>
      </rPr>
      <t>strong negative correlation</t>
    </r>
    <r>
      <rPr>
        <sz val="11"/>
        <color theme="1"/>
        <rFont val="Aptos Narrow"/>
        <family val="2"/>
        <scheme val="minor"/>
      </rPr>
      <t>.</t>
    </r>
  </si>
  <si>
    <r>
      <t xml:space="preserve">Would you like me to also show you how to </t>
    </r>
    <r>
      <rPr>
        <b/>
        <sz val="11"/>
        <color theme="1"/>
        <rFont val="Aptos Narrow"/>
        <family val="2"/>
        <scheme val="minor"/>
      </rPr>
      <t>plot a scatter chart with a downward-sloping trendline in Excel</t>
    </r>
    <r>
      <rPr>
        <sz val="11"/>
        <color theme="1"/>
        <rFont val="Aptos Narrow"/>
        <family val="2"/>
        <scheme val="minor"/>
      </rPr>
      <t xml:space="preserve"> so you can visually confirm this negative correlation?</t>
    </r>
  </si>
  <si>
    <t>Year</t>
  </si>
  <si>
    <t>PortfolioA(x)</t>
  </si>
  <si>
    <t>PortfolioB(Y)</t>
  </si>
  <si>
    <r>
      <t>(X-X</t>
    </r>
    <r>
      <rPr>
        <sz val="11"/>
        <color theme="1"/>
        <rFont val="Arial"/>
        <family val="2"/>
      </rPr>
      <t>¯)</t>
    </r>
  </si>
  <si>
    <r>
      <t>(Y-Y</t>
    </r>
    <r>
      <rPr>
        <sz val="11"/>
        <color theme="1"/>
        <rFont val="Arial"/>
        <family val="2"/>
      </rPr>
      <t>¯)</t>
    </r>
  </si>
  <si>
    <r>
      <t>(x-x</t>
    </r>
    <r>
      <rPr>
        <sz val="11"/>
        <color theme="1"/>
        <rFont val="Arial"/>
        <family val="2"/>
      </rPr>
      <t>¯</t>
    </r>
    <r>
      <rPr>
        <sz val="11"/>
        <color theme="1"/>
        <rFont val="Aptos Narrow"/>
        <family val="2"/>
        <scheme val="minor"/>
      </rPr>
      <t>)(y-y</t>
    </r>
    <r>
      <rPr>
        <sz val="11"/>
        <color theme="1"/>
        <rFont val="Arial"/>
        <family val="2"/>
      </rPr>
      <t>¯</t>
    </r>
    <r>
      <rPr>
        <sz val="11"/>
        <color theme="1"/>
        <rFont val="Aptos Narrow"/>
        <family val="2"/>
        <scheme val="minor"/>
      </rPr>
      <t>)</t>
    </r>
  </si>
  <si>
    <r>
      <t>(X-X</t>
    </r>
    <r>
      <rPr>
        <sz val="11"/>
        <color theme="1"/>
        <rFont val="Aptos Narrow"/>
        <family val="2"/>
      </rPr>
      <t>)</t>
    </r>
    <r>
      <rPr>
        <sz val="11"/>
        <color theme="1"/>
        <rFont val="Arial"/>
        <family val="2"/>
      </rPr>
      <t>¯</t>
    </r>
    <r>
      <rPr>
        <sz val="11"/>
        <color theme="1"/>
        <rFont val="Aptos Narrow"/>
        <family val="2"/>
        <scheme val="minor"/>
      </rPr>
      <t>)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</si>
  <si>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(Y-Y</t>
    </r>
    <r>
      <rPr>
        <sz val="11"/>
        <color theme="1"/>
        <rFont val="Arial"/>
        <family val="2"/>
      </rPr>
      <t>¯</t>
    </r>
    <r>
      <rPr>
        <sz val="11"/>
        <color theme="1"/>
        <rFont val="Aptos Narrow"/>
        <family val="2"/>
      </rPr>
      <t>)</t>
    </r>
    <r>
      <rPr>
        <vertAlign val="superscript"/>
        <sz val="11"/>
        <color theme="1"/>
        <rFont val="Aptos Narrow"/>
        <family val="2"/>
      </rPr>
      <t>2</t>
    </r>
  </si>
  <si>
    <r>
      <t>covaraince=</t>
    </r>
    <r>
      <rPr>
        <sz val="11"/>
        <color theme="1"/>
        <rFont val="SimSun"/>
      </rPr>
      <t>∑(X-X</t>
    </r>
    <r>
      <rPr>
        <sz val="11"/>
        <color theme="1"/>
        <rFont val="Arial"/>
        <family val="2"/>
      </rPr>
      <t>¯)(Y-Y¯)/n</t>
    </r>
  </si>
  <si>
    <t>8/5=1.6</t>
  </si>
  <si>
    <r>
      <t>r=</t>
    </r>
    <r>
      <rPr>
        <sz val="11"/>
        <color theme="1"/>
        <rFont val="SimSun"/>
      </rPr>
      <t>∑(X-X</t>
    </r>
    <r>
      <rPr>
        <sz val="11"/>
        <color theme="1"/>
        <rFont val="Arial"/>
        <family val="2"/>
      </rPr>
      <t>¯)(Y-Y¯)/</t>
    </r>
    <r>
      <rPr>
        <sz val="11"/>
        <color theme="1"/>
        <rFont val="Verdana"/>
        <family val="2"/>
      </rPr>
      <t>√</t>
    </r>
    <r>
      <rPr>
        <sz val="11"/>
        <color theme="1"/>
        <rFont val="SimSun"/>
      </rPr>
      <t>∑(X-X</t>
    </r>
    <r>
      <rPr>
        <sz val="11"/>
        <color theme="1"/>
        <rFont val="Arial"/>
        <family val="2"/>
      </rPr>
      <t>¯)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SimSun"/>
      </rPr>
      <t>∑(Y-Y</t>
    </r>
    <r>
      <rPr>
        <sz val="11"/>
        <color theme="1"/>
        <rFont val="Arial"/>
        <family val="2"/>
      </rPr>
      <t>¯</t>
    </r>
    <r>
      <rPr>
        <sz val="11"/>
        <color theme="1"/>
        <rFont val="SimSun"/>
      </rPr>
      <t>)</t>
    </r>
    <r>
      <rPr>
        <vertAlign val="superscript"/>
        <sz val="11"/>
        <color theme="1"/>
        <rFont val="SimSun"/>
      </rPr>
      <t>2</t>
    </r>
  </si>
  <si>
    <r>
      <t>r=8/</t>
    </r>
    <r>
      <rPr>
        <sz val="11"/>
        <color theme="1"/>
        <rFont val="Verdana"/>
        <family val="2"/>
      </rPr>
      <t>√</t>
    </r>
    <r>
      <rPr>
        <sz val="11"/>
        <color theme="1"/>
        <rFont val="Aptos Narrow"/>
        <family val="2"/>
      </rPr>
      <t>10*6.8=8/</t>
    </r>
    <r>
      <rPr>
        <sz val="11"/>
        <color theme="1"/>
        <rFont val="Verdana"/>
        <family val="2"/>
      </rPr>
      <t>√</t>
    </r>
    <r>
      <rPr>
        <sz val="11"/>
        <color theme="1"/>
        <rFont val="Aptos Narrow"/>
        <family val="2"/>
      </rPr>
      <t>68</t>
    </r>
  </si>
  <si>
    <t>8/8.246</t>
  </si>
  <si>
    <t>covaraience=1.6</t>
  </si>
  <si>
    <t>correlation coefficient=0.97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</si>
</sst>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SimSun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perscript"/>
      <sz val="11"/>
      <color theme="1"/>
      <name val="superscript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Verdana"/>
      <family val="2"/>
    </font>
    <font>
      <vertAlign val="superscript"/>
      <sz val="11"/>
      <color theme="1"/>
      <name val="Arial"/>
      <family val="2"/>
    </font>
    <font>
      <vertAlign val="superscript"/>
      <sz val="11"/>
      <color theme="1"/>
      <name val="Aptos Narrow"/>
      <family val="2"/>
    </font>
    <font>
      <vertAlign val="superscript"/>
      <sz val="11"/>
      <color theme="1"/>
      <name val="SimSu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right"/>
    </xf>
    <xf numFmtId="0" fontId="0" fillId="0" borderId="1" xfId="0" applyBorder="1"/>
    <xf numFmtId="0" fontId="1" fillId="0" borderId="0" xfId="0" applyFont="1"/>
    <xf numFmtId="16" fontId="0" fillId="0" borderId="0" xfId="0" applyNumberFormat="1"/>
    <xf numFmtId="0" fontId="0" fillId="0" borderId="1" xfId="0" applyFill="1" applyBorder="1"/>
    <xf numFmtId="0" fontId="4" fillId="0" borderId="0" xfId="0" applyFont="1"/>
    <xf numFmtId="0" fontId="0" fillId="2" borderId="1" xfId="0" applyFill="1" applyBorder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27AD-60D8-496B-8487-6F59BB2B5C63}">
  <dimension ref="A1:E13"/>
  <sheetViews>
    <sheetView workbookViewId="0">
      <selection sqref="A1:E5"/>
    </sheetView>
  </sheetViews>
  <sheetFormatPr defaultRowHeight="14.45"/>
  <cols>
    <col min="4" max="4" width="12.140625" bestFit="1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 s="3">
        <v>2</v>
      </c>
      <c r="B2" s="3">
        <v>3</v>
      </c>
      <c r="C2" s="3">
        <f>A2-$A$6</f>
        <v>-3</v>
      </c>
      <c r="D2" s="3">
        <f>B2-$B$6</f>
        <v>-3.25</v>
      </c>
      <c r="E2" s="3">
        <f>C2*D2</f>
        <v>9.75</v>
      </c>
    </row>
    <row r="3" spans="1:5">
      <c r="A3" s="3">
        <v>4</v>
      </c>
      <c r="B3" s="3">
        <v>7</v>
      </c>
      <c r="C3" s="3">
        <f t="shared" ref="C3:C5" si="0">A3-$A$6</f>
        <v>-1</v>
      </c>
      <c r="D3" s="3">
        <f t="shared" ref="D3:D5" si="1">B3-$B$6</f>
        <v>0.75</v>
      </c>
      <c r="E3" s="3">
        <f t="shared" ref="E3:E5" si="2">C3*D3</f>
        <v>-0.75</v>
      </c>
    </row>
    <row r="4" spans="1:5">
      <c r="A4" s="3">
        <v>6</v>
      </c>
      <c r="B4" s="3">
        <v>5</v>
      </c>
      <c r="C4" s="3">
        <f t="shared" si="0"/>
        <v>1</v>
      </c>
      <c r="D4" s="3">
        <f t="shared" si="1"/>
        <v>-1.25</v>
      </c>
      <c r="E4" s="3">
        <f t="shared" si="2"/>
        <v>-1.25</v>
      </c>
    </row>
    <row r="5" spans="1:5">
      <c r="A5" s="3">
        <v>8</v>
      </c>
      <c r="B5" s="3">
        <v>10</v>
      </c>
      <c r="C5" s="3">
        <f t="shared" si="0"/>
        <v>3</v>
      </c>
      <c r="D5" s="3">
        <f t="shared" si="1"/>
        <v>3.75</v>
      </c>
      <c r="E5" s="3">
        <f t="shared" si="2"/>
        <v>11.25</v>
      </c>
    </row>
    <row r="6" spans="1:5">
      <c r="A6" s="1">
        <f>AVERAGE(A2:A5)</f>
        <v>5</v>
      </c>
      <c r="B6" s="1">
        <f>AVERAGE(B2:B5)</f>
        <v>6.25</v>
      </c>
      <c r="E6" s="1">
        <f>SUM(E2:E5)</f>
        <v>19</v>
      </c>
    </row>
    <row r="9" spans="1:5" ht="15">
      <c r="D9" t="s">
        <v>5</v>
      </c>
      <c r="E9" s="4" t="s">
        <v>6</v>
      </c>
    </row>
    <row r="10" spans="1:5">
      <c r="D10" t="s">
        <v>7</v>
      </c>
    </row>
    <row r="12" spans="1:5">
      <c r="D12" t="s">
        <v>8</v>
      </c>
      <c r="E12" s="5"/>
    </row>
    <row r="13" spans="1:5">
      <c r="D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EDDF-F802-4EB5-8DE4-B9AC41C2F318}">
  <dimension ref="A1:G12"/>
  <sheetViews>
    <sheetView workbookViewId="0">
      <selection activeCell="C2" sqref="C2"/>
    </sheetView>
  </sheetViews>
  <sheetFormatPr defaultRowHeight="14.45"/>
  <cols>
    <col min="3" max="3" width="5" bestFit="1" customWidth="1"/>
    <col min="5" max="5" width="12.7109375" bestFit="1" customWidth="1"/>
  </cols>
  <sheetData>
    <row r="1" spans="1:7" ht="16.899999999999999">
      <c r="A1" s="3" t="s">
        <v>10</v>
      </c>
      <c r="B1" s="3" t="s">
        <v>11</v>
      </c>
      <c r="C1" s="3" t="s">
        <v>12</v>
      </c>
      <c r="D1" s="3" t="s">
        <v>13</v>
      </c>
      <c r="E1" s="6" t="s">
        <v>14</v>
      </c>
      <c r="F1" s="6" t="s">
        <v>15</v>
      </c>
      <c r="G1" s="6" t="s">
        <v>16</v>
      </c>
    </row>
    <row r="2" spans="1:7">
      <c r="A2" s="3">
        <v>10</v>
      </c>
      <c r="B2" s="3">
        <v>8</v>
      </c>
      <c r="C2" s="3">
        <f>A2-$A$7</f>
        <v>-20</v>
      </c>
      <c r="D2" s="3">
        <f>B2-$B$7</f>
        <v>-10.399999999999999</v>
      </c>
      <c r="E2" s="3">
        <f>C2*D2</f>
        <v>207.99999999999997</v>
      </c>
      <c r="F2" s="3">
        <f>C2*C2</f>
        <v>400</v>
      </c>
      <c r="G2" s="3">
        <f>D2*D2</f>
        <v>108.15999999999997</v>
      </c>
    </row>
    <row r="3" spans="1:7">
      <c r="A3" s="3">
        <v>20</v>
      </c>
      <c r="B3" s="3">
        <v>14</v>
      </c>
      <c r="C3" s="3">
        <f t="shared" ref="C3:C6" si="0">A3-$A$7</f>
        <v>-10</v>
      </c>
      <c r="D3" s="3">
        <f t="shared" ref="D3:D6" si="1">B3-$B$7</f>
        <v>-4.3999999999999986</v>
      </c>
      <c r="E3" s="3">
        <f t="shared" ref="E3:E6" si="2">C3*D3</f>
        <v>43.999999999999986</v>
      </c>
      <c r="F3" s="3">
        <f t="shared" ref="F3:F6" si="3">(C3)*C3</f>
        <v>100</v>
      </c>
      <c r="G3" s="3">
        <f t="shared" ref="G3:G6" si="4">D3*D3</f>
        <v>19.359999999999989</v>
      </c>
    </row>
    <row r="4" spans="1:7">
      <c r="A4" s="3">
        <v>30</v>
      </c>
      <c r="B4" s="3">
        <v>18</v>
      </c>
      <c r="C4" s="3">
        <f t="shared" si="0"/>
        <v>0</v>
      </c>
      <c r="D4" s="3">
        <f t="shared" si="1"/>
        <v>-0.39999999999999858</v>
      </c>
      <c r="E4" s="3">
        <f t="shared" si="2"/>
        <v>0</v>
      </c>
      <c r="F4" s="3">
        <f t="shared" si="3"/>
        <v>0</v>
      </c>
      <c r="G4" s="3">
        <f t="shared" si="4"/>
        <v>0.15999999999999887</v>
      </c>
    </row>
    <row r="5" spans="1:7">
      <c r="A5" s="3">
        <v>40</v>
      </c>
      <c r="B5" s="3">
        <v>24</v>
      </c>
      <c r="C5" s="3">
        <f t="shared" si="0"/>
        <v>10</v>
      </c>
      <c r="D5" s="3">
        <f t="shared" si="1"/>
        <v>5.6000000000000014</v>
      </c>
      <c r="E5" s="3">
        <f t="shared" si="2"/>
        <v>56.000000000000014</v>
      </c>
      <c r="F5" s="3">
        <f t="shared" si="3"/>
        <v>100</v>
      </c>
      <c r="G5" s="3">
        <f t="shared" si="4"/>
        <v>31.360000000000017</v>
      </c>
    </row>
    <row r="6" spans="1:7">
      <c r="A6" s="3">
        <v>50</v>
      </c>
      <c r="B6" s="3">
        <v>28</v>
      </c>
      <c r="C6" s="3">
        <f t="shared" si="0"/>
        <v>20</v>
      </c>
      <c r="D6" s="3">
        <f t="shared" si="1"/>
        <v>9.6000000000000014</v>
      </c>
      <c r="E6" s="3">
        <f t="shared" si="2"/>
        <v>192.00000000000003</v>
      </c>
      <c r="F6" s="3">
        <f t="shared" si="3"/>
        <v>400</v>
      </c>
      <c r="G6" s="3">
        <f t="shared" si="4"/>
        <v>92.160000000000025</v>
      </c>
    </row>
    <row r="7" spans="1:7">
      <c r="A7" s="8">
        <f>AVERAGE(A2:A6)</f>
        <v>30</v>
      </c>
      <c r="B7" s="8">
        <f>AVERAGE(B2:B6)</f>
        <v>18.399999999999999</v>
      </c>
      <c r="C7" s="3"/>
      <c r="D7" s="3"/>
      <c r="E7" s="8">
        <f>SUM(E2:E6)</f>
        <v>500</v>
      </c>
      <c r="F7" s="8">
        <f>SUM(F2:F6)</f>
        <v>1000</v>
      </c>
      <c r="G7" s="8">
        <f>SUM(G2:G6)</f>
        <v>251.2</v>
      </c>
    </row>
    <row r="9" spans="1:7">
      <c r="C9" s="7"/>
      <c r="D9" t="s">
        <v>17</v>
      </c>
    </row>
    <row r="10" spans="1:7">
      <c r="D10" t="s">
        <v>18</v>
      </c>
    </row>
    <row r="11" spans="1:7">
      <c r="D11" t="s">
        <v>19</v>
      </c>
    </row>
    <row r="12" spans="1:7">
      <c r="D1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EDEC-8C26-4462-9822-3783BBD1A530}">
  <dimension ref="A1:G14"/>
  <sheetViews>
    <sheetView workbookViewId="0">
      <selection activeCell="E20" sqref="E20"/>
    </sheetView>
  </sheetViews>
  <sheetFormatPr defaultRowHeight="14.45"/>
  <cols>
    <col min="4" max="4" width="4.7109375" bestFit="1" customWidth="1"/>
    <col min="5" max="5" width="10.7109375" bestFit="1" customWidth="1"/>
  </cols>
  <sheetData>
    <row r="1" spans="1:7" ht="16.899999999999999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s="4" t="s">
        <v>27</v>
      </c>
    </row>
    <row r="2" spans="1:7">
      <c r="A2">
        <v>150</v>
      </c>
      <c r="B2">
        <v>50</v>
      </c>
      <c r="C2">
        <f>A2-$A$7</f>
        <v>-15</v>
      </c>
      <c r="D2">
        <f>B2-$B$7</f>
        <v>-9</v>
      </c>
      <c r="E2">
        <f>C2*D2</f>
        <v>135</v>
      </c>
      <c r="F2">
        <f>C2*C2</f>
        <v>225</v>
      </c>
      <c r="G2">
        <f>D2*D2</f>
        <v>81</v>
      </c>
    </row>
    <row r="3" spans="1:7">
      <c r="A3">
        <v>160</v>
      </c>
      <c r="B3">
        <v>55</v>
      </c>
      <c r="C3">
        <f t="shared" ref="C3:C6" si="0">A3-$A$7</f>
        <v>-5</v>
      </c>
      <c r="D3">
        <f>B3-$B$7</f>
        <v>-4</v>
      </c>
      <c r="E3">
        <f t="shared" ref="E3:E6" si="1">C3*D3</f>
        <v>20</v>
      </c>
      <c r="F3">
        <f>C3*C3</f>
        <v>25</v>
      </c>
      <c r="G3">
        <f t="shared" ref="G3:G6" si="2">D3*D3</f>
        <v>16</v>
      </c>
    </row>
    <row r="4" spans="1:7">
      <c r="A4">
        <v>165</v>
      </c>
      <c r="B4">
        <v>58</v>
      </c>
      <c r="C4">
        <f t="shared" si="0"/>
        <v>0</v>
      </c>
      <c r="D4">
        <f>B4-$B$7</f>
        <v>-1</v>
      </c>
      <c r="E4">
        <f t="shared" si="1"/>
        <v>0</v>
      </c>
      <c r="F4">
        <f>C4*C4</f>
        <v>0</v>
      </c>
      <c r="G4">
        <f t="shared" si="2"/>
        <v>1</v>
      </c>
    </row>
    <row r="5" spans="1:7">
      <c r="A5">
        <v>170</v>
      </c>
      <c r="B5">
        <v>62</v>
      </c>
      <c r="C5">
        <f t="shared" si="0"/>
        <v>5</v>
      </c>
      <c r="D5">
        <f>B5-$B$7</f>
        <v>3</v>
      </c>
      <c r="E5">
        <f t="shared" si="1"/>
        <v>15</v>
      </c>
      <c r="F5">
        <f>C5*C5</f>
        <v>25</v>
      </c>
      <c r="G5">
        <f t="shared" si="2"/>
        <v>9</v>
      </c>
    </row>
    <row r="6" spans="1:7">
      <c r="A6">
        <v>180</v>
      </c>
      <c r="B6">
        <v>70</v>
      </c>
      <c r="C6">
        <f t="shared" si="0"/>
        <v>15</v>
      </c>
      <c r="D6">
        <f>B6-$B$7</f>
        <v>11</v>
      </c>
      <c r="E6">
        <f t="shared" si="1"/>
        <v>165</v>
      </c>
      <c r="F6">
        <f>C6*C6</f>
        <v>225</v>
      </c>
      <c r="G6">
        <f t="shared" si="2"/>
        <v>121</v>
      </c>
    </row>
    <row r="7" spans="1:7">
      <c r="A7" s="1">
        <f>AVERAGE(A2:A6)</f>
        <v>165</v>
      </c>
      <c r="B7" s="1">
        <f>AVERAGE(B2:B6)</f>
        <v>59</v>
      </c>
      <c r="E7" s="1">
        <f>SUM(E2:E6)</f>
        <v>335</v>
      </c>
      <c r="F7" s="1">
        <f>SUM(F2:F6)</f>
        <v>500</v>
      </c>
      <c r="G7" s="1">
        <f>SUM(G2:G6)</f>
        <v>228</v>
      </c>
    </row>
    <row r="10" spans="1:7" ht="16.899999999999999">
      <c r="E10" t="s">
        <v>28</v>
      </c>
    </row>
    <row r="11" spans="1:7">
      <c r="E11" t="s">
        <v>29</v>
      </c>
    </row>
    <row r="12" spans="1:7">
      <c r="E12" t="s">
        <v>30</v>
      </c>
    </row>
    <row r="13" spans="1:7">
      <c r="E13" t="s">
        <v>31</v>
      </c>
    </row>
    <row r="14" spans="1:7">
      <c r="E14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65F8-E41F-4364-B85A-8B7E759D43FA}">
  <dimension ref="A1:C33"/>
  <sheetViews>
    <sheetView workbookViewId="0">
      <selection activeCell="H9" sqref="H9"/>
    </sheetView>
  </sheetViews>
  <sheetFormatPr defaultRowHeight="14.45"/>
  <sheetData>
    <row r="1" spans="1:3">
      <c r="A1" s="3" t="s">
        <v>10</v>
      </c>
      <c r="B1" s="3" t="s">
        <v>11</v>
      </c>
    </row>
    <row r="2" spans="1:3">
      <c r="A2" s="3">
        <v>1</v>
      </c>
      <c r="B2" s="3">
        <v>15</v>
      </c>
      <c r="C2" s="1">
        <f>CORREL(A2:A6,B2:B6)</f>
        <v>-0.99586408862799536</v>
      </c>
    </row>
    <row r="3" spans="1:3">
      <c r="A3" s="3">
        <v>2</v>
      </c>
      <c r="B3" s="3">
        <v>12</v>
      </c>
    </row>
    <row r="4" spans="1:3">
      <c r="A4" s="3">
        <v>3</v>
      </c>
      <c r="B4" s="3">
        <v>9</v>
      </c>
    </row>
    <row r="5" spans="1:3">
      <c r="A5" s="3">
        <v>4</v>
      </c>
      <c r="B5" s="3">
        <v>7</v>
      </c>
    </row>
    <row r="6" spans="1:3">
      <c r="A6" s="3">
        <v>5</v>
      </c>
      <c r="B6" s="3">
        <v>3</v>
      </c>
    </row>
    <row r="8" spans="1:3">
      <c r="C8" s="9" t="s">
        <v>33</v>
      </c>
    </row>
    <row r="9" spans="1:3">
      <c r="C9" s="10" t="s">
        <v>34</v>
      </c>
    </row>
    <row r="11" spans="1:3">
      <c r="C11" t="s">
        <v>35</v>
      </c>
    </row>
    <row r="13" spans="1:3">
      <c r="C13" t="s">
        <v>36</v>
      </c>
    </row>
    <row r="16" spans="1:3">
      <c r="C16" s="9"/>
    </row>
    <row r="17" spans="3:3">
      <c r="C17" s="9"/>
    </row>
    <row r="18" spans="3:3">
      <c r="C18" s="9"/>
    </row>
    <row r="19" spans="3:3">
      <c r="C19" s="9"/>
    </row>
    <row r="20" spans="3:3">
      <c r="C20" s="9"/>
    </row>
    <row r="21" spans="3:3">
      <c r="C21" s="9"/>
    </row>
    <row r="24" spans="3:3">
      <c r="C24" s="9"/>
    </row>
    <row r="25" spans="3:3">
      <c r="C25" s="9"/>
    </row>
    <row r="26" spans="3:3">
      <c r="C26" s="9"/>
    </row>
    <row r="29" spans="3:3">
      <c r="C29" s="9"/>
    </row>
    <row r="30" spans="3:3">
      <c r="C30" s="9" t="s">
        <v>37</v>
      </c>
    </row>
    <row r="31" spans="3:3">
      <c r="C31" s="9" t="s">
        <v>38</v>
      </c>
    </row>
    <row r="33" spans="3:3">
      <c r="C3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BF76-0986-4FFA-AE7F-CBC38B5D185E}">
  <dimension ref="A1:H22"/>
  <sheetViews>
    <sheetView tabSelected="1" workbookViewId="0">
      <selection activeCell="M9" sqref="M9"/>
    </sheetView>
  </sheetViews>
  <sheetFormatPr defaultRowHeight="14.45"/>
  <cols>
    <col min="2" max="2" width="10.7109375" bestFit="1" customWidth="1"/>
    <col min="3" max="3" width="11" bestFit="1" customWidth="1"/>
  </cols>
  <sheetData>
    <row r="1" spans="1:8" ht="16.149999999999999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</row>
    <row r="2" spans="1:8">
      <c r="A2" s="3">
        <v>1</v>
      </c>
      <c r="B2" s="3">
        <v>8</v>
      </c>
      <c r="C2" s="3">
        <v>8</v>
      </c>
      <c r="D2" s="3">
        <f>B2-$B$7</f>
        <v>-2</v>
      </c>
      <c r="E2" s="3">
        <f>C2-$C$7</f>
        <v>-1.1999999999999993</v>
      </c>
      <c r="F2" s="3">
        <f>D2*E2</f>
        <v>2.3999999999999986</v>
      </c>
      <c r="G2" s="3">
        <f>D2*D2</f>
        <v>4</v>
      </c>
      <c r="H2" s="3">
        <f>E2*E2</f>
        <v>1.4399999999999984</v>
      </c>
    </row>
    <row r="3" spans="1:8">
      <c r="A3" s="3">
        <v>2</v>
      </c>
      <c r="B3" s="3">
        <v>10</v>
      </c>
      <c r="C3" s="3">
        <v>9</v>
      </c>
      <c r="D3" s="3">
        <f t="shared" ref="D3:D6" si="0">B3-$B$7</f>
        <v>0</v>
      </c>
      <c r="E3" s="3">
        <f t="shared" ref="E3:E6" si="1">C3-$C$7</f>
        <v>-0.19999999999999929</v>
      </c>
      <c r="F3" s="3">
        <f t="shared" ref="F3:F6" si="2">D3*E3</f>
        <v>0</v>
      </c>
      <c r="G3" s="3">
        <f t="shared" ref="G3:G6" si="3">D3*D3</f>
        <v>0</v>
      </c>
      <c r="H3" s="3">
        <f t="shared" ref="H3:H6" si="4">E3*E3</f>
        <v>3.9999999999999716E-2</v>
      </c>
    </row>
    <row r="4" spans="1:8">
      <c r="A4" s="3">
        <v>3</v>
      </c>
      <c r="B4" s="3">
        <v>12</v>
      </c>
      <c r="C4" s="3">
        <v>11</v>
      </c>
      <c r="D4" s="3">
        <f t="shared" si="0"/>
        <v>2</v>
      </c>
      <c r="E4" s="3">
        <f t="shared" si="1"/>
        <v>1.8000000000000007</v>
      </c>
      <c r="F4" s="3">
        <f t="shared" si="2"/>
        <v>3.6000000000000014</v>
      </c>
      <c r="G4" s="3">
        <f t="shared" si="3"/>
        <v>4</v>
      </c>
      <c r="H4" s="3">
        <f t="shared" si="4"/>
        <v>3.2400000000000024</v>
      </c>
    </row>
    <row r="5" spans="1:8">
      <c r="A5" s="3">
        <v>4</v>
      </c>
      <c r="B5" s="3">
        <v>9</v>
      </c>
      <c r="C5" s="3">
        <v>8</v>
      </c>
      <c r="D5" s="3">
        <f t="shared" si="0"/>
        <v>-1</v>
      </c>
      <c r="E5" s="3">
        <f t="shared" si="1"/>
        <v>-1.1999999999999993</v>
      </c>
      <c r="F5" s="3">
        <f t="shared" si="2"/>
        <v>1.1999999999999993</v>
      </c>
      <c r="G5" s="3">
        <f t="shared" si="3"/>
        <v>1</v>
      </c>
      <c r="H5" s="3">
        <f t="shared" si="4"/>
        <v>1.4399999999999984</v>
      </c>
    </row>
    <row r="6" spans="1:8">
      <c r="A6" s="3">
        <v>5</v>
      </c>
      <c r="B6" s="3">
        <v>11</v>
      </c>
      <c r="C6" s="3">
        <v>10</v>
      </c>
      <c r="D6" s="3">
        <f t="shared" si="0"/>
        <v>1</v>
      </c>
      <c r="E6" s="3">
        <f t="shared" si="1"/>
        <v>0.80000000000000071</v>
      </c>
      <c r="F6" s="3">
        <f t="shared" si="2"/>
        <v>0.80000000000000071</v>
      </c>
      <c r="G6" s="3">
        <f t="shared" si="3"/>
        <v>1</v>
      </c>
      <c r="H6" s="3">
        <f t="shared" si="4"/>
        <v>0.64000000000000112</v>
      </c>
    </row>
    <row r="7" spans="1:8">
      <c r="B7" s="1">
        <f>AVERAGE(B2:B6)</f>
        <v>10</v>
      </c>
      <c r="C7" s="1">
        <f>AVERAGE(C2:C6)</f>
        <v>9.1999999999999993</v>
      </c>
      <c r="F7" s="1">
        <f>SUM(F2:F6)</f>
        <v>8</v>
      </c>
      <c r="G7" s="1">
        <f>SUM(G2:G6)</f>
        <v>10</v>
      </c>
      <c r="H7" s="1">
        <f>SUM(H2:H6)</f>
        <v>6.8000000000000007</v>
      </c>
    </row>
    <row r="10" spans="1:8" ht="15">
      <c r="D10" t="s">
        <v>48</v>
      </c>
    </row>
    <row r="11" spans="1:8">
      <c r="D11" t="s">
        <v>49</v>
      </c>
    </row>
    <row r="14" spans="1:8" ht="17.45">
      <c r="D14" t="s">
        <v>50</v>
      </c>
    </row>
    <row r="16" spans="1:8">
      <c r="D16" t="s">
        <v>51</v>
      </c>
    </row>
    <row r="18" spans="4:4">
      <c r="D18" t="s">
        <v>52</v>
      </c>
    </row>
    <row r="19" spans="4:4">
      <c r="D19">
        <f>0.97</f>
        <v>0.97</v>
      </c>
    </row>
    <row r="21" spans="4:4">
      <c r="D21" t="s">
        <v>53</v>
      </c>
    </row>
    <row r="22" spans="4:4">
      <c r="D2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Aryan90 Tyagi</dc:creator>
  <cp:keywords/>
  <dc:description/>
  <cp:lastModifiedBy/>
  <cp:revision/>
  <dcterms:created xsi:type="dcterms:W3CDTF">2026-01-09T12:23:34Z</dcterms:created>
  <dcterms:modified xsi:type="dcterms:W3CDTF">2026-01-18T14:15:48Z</dcterms:modified>
  <cp:category/>
  <cp:contentStatus/>
</cp:coreProperties>
</file>